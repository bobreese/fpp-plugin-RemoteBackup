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tat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hh:mm:ss"/>
    <numFmt numFmtId="166" formatCode="0.0"/>
    <numFmt numFmtId="167" formatCode="#,##0.0"/>
  </numFmts>
  <fonts count="8">
    <font>
      <name val="Calibri"/>
      <family val="2"/>
      <color theme="1"/>
      <sz val="11"/>
      <scheme val="minor"/>
    </font>
    <font>
      <name val="Arial"/>
      <b val="1"/>
      <color rgb="001F4E78"/>
      <sz val="14"/>
    </font>
    <font>
      <name val="Arial"/>
      <i val="1"/>
      <color rgb="00666666"/>
      <sz val="10"/>
    </font>
    <font>
      <name val="Arial"/>
      <b val="1"/>
      <color rgb="00FFFFFF"/>
      <sz val="11"/>
    </font>
    <font>
      <name val="Arial"/>
      <sz val="10"/>
    </font>
    <font>
      <name val="Arial"/>
      <b val="1"/>
      <sz val="10"/>
    </font>
    <font>
      <name val="Arial"/>
      <i val="1"/>
      <color rgb="00806000"/>
      <sz val="9"/>
    </font>
    <font>
      <name val="Arial"/>
      <b val="1"/>
      <color rgb="001F4E78"/>
      <sz val="12"/>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165" fontId="4" fillId="0" borderId="1" applyAlignment="1" pivotButton="0" quotePrefix="0" xfId="0">
      <alignment horizontal="right"/>
    </xf>
    <xf numFmtId="1" fontId="4" fillId="0" borderId="1" applyAlignment="1" pivotButton="0" quotePrefix="0" xfId="0">
      <alignment horizontal="right"/>
    </xf>
    <xf numFmtId="0" fontId="4" fillId="0" borderId="1" applyAlignment="1" pivotButton="0" quotePrefix="0" xfId="0">
      <alignment horizontal="right"/>
    </xf>
    <xf numFmtId="3" fontId="4" fillId="0" borderId="1" applyAlignment="1" pivotButton="0" quotePrefix="0" xfId="0">
      <alignment horizontal="right"/>
    </xf>
    <xf numFmtId="4" fontId="4" fillId="0" borderId="1" applyAlignment="1" pivotButton="0" quotePrefix="0" xfId="0">
      <alignment horizontal="right"/>
    </xf>
    <xf numFmtId="166" fontId="4" fillId="0" borderId="1" applyAlignment="1" pivotButton="0" quotePrefix="0" xfId="0">
      <alignment horizontal="right"/>
    </xf>
    <xf numFmtId="167" fontId="4" fillId="0" borderId="1" applyAlignment="1" pivotButton="0" quotePrefix="0" xfId="0">
      <alignment horizontal="right"/>
    </xf>
    <xf numFmtId="0" fontId="4" fillId="3" borderId="1" pivotButton="0" quotePrefix="0" xfId="0"/>
    <xf numFmtId="165" fontId="4" fillId="3" borderId="1" applyAlignment="1" pivotButton="0" quotePrefix="0" xfId="0">
      <alignment horizontal="right"/>
    </xf>
    <xf numFmtId="1" fontId="4" fillId="3" borderId="1" applyAlignment="1" pivotButton="0" quotePrefix="0" xfId="0">
      <alignment horizontal="right"/>
    </xf>
    <xf numFmtId="0" fontId="4" fillId="3" borderId="1" applyAlignment="1" pivotButton="0" quotePrefix="0" xfId="0">
      <alignment horizontal="right"/>
    </xf>
    <xf numFmtId="3" fontId="4" fillId="3" borderId="1" applyAlignment="1" pivotButton="0" quotePrefix="0" xfId="0">
      <alignment horizontal="right"/>
    </xf>
    <xf numFmtId="4" fontId="4" fillId="3" borderId="1" applyAlignment="1" pivotButton="0" quotePrefix="0" xfId="0">
      <alignment horizontal="right"/>
    </xf>
    <xf numFmtId="166" fontId="4" fillId="3" borderId="1" applyAlignment="1" pivotButton="0" quotePrefix="0" xfId="0">
      <alignment horizontal="right"/>
    </xf>
    <xf numFmtId="167" fontId="4" fillId="3" borderId="1" applyAlignment="1" pivotButton="0" quotePrefix="0" xfId="0">
      <alignment horizontal="right"/>
    </xf>
    <xf numFmtId="0" fontId="5" fillId="0" borderId="1" pivotButton="0" quotePrefix="0" xfId="0"/>
    <xf numFmtId="0" fontId="0" fillId="0" borderId="1" pivotButton="0" quotePrefix="0" xfId="0"/>
    <xf numFmtId="3" fontId="5" fillId="0" borderId="1" pivotButton="0" quotePrefix="0" xfId="0"/>
    <xf numFmtId="4" fontId="5" fillId="0" borderId="1" pivotButton="0" quotePrefix="0" xfId="0"/>
    <xf numFmtId="0" fontId="6" fillId="0" borderId="0" applyAlignment="1" pivotButton="0" quotePrefix="0" xfId="0">
      <alignment vertical="top" wrapText="1"/>
    </xf>
    <xf numFmtId="0" fontId="7" fillId="0" borderId="0" pivotButton="0" quotePrefix="0" xfId="0"/>
    <xf numFmtId="0" fontId="4" fillId="0" borderId="0" pivotButton="0" quotePrefix="0" xfId="0"/>
    <xf numFmtId="165" fontId="4" fillId="0" borderId="0" pivotButton="0" quotePrefix="0" xfId="0"/>
    <xf numFmtId="3" fontId="4" fillId="0" borderId="0" pivotButton="0" quotePrefix="0" xfId="0"/>
    <xf numFmtId="4"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Remote Backup analysis</author>
  </authors>
  <commentList>
    <comment ref="K9" authorId="0" shapeId="0">
      <text>
        <t>This row is the Host's own LOCAL backup (local=1 in engine.log - source and destination are both local paths on this same machine), which never touches the network interface at all. Unlike every remote row, where these three columns genuinely isolate that one device's own activity, this row's CPU/Mem/Network numbers reflect the Host MACHINE's total concurrent load at that moment - whichever other remote(s) happened to be transferring into the Host under the 2-concurrent-transfer queue at the same time, not this local copy itself. In this run, FPPBeagleBlack (07:46:27-07:46:39) was still mid-transfer through this row's entire window (07:46:36-07:46:38), so its incoming traffic is what these peaks are actually showing.</t>
      </text>
    </comment>
    <comment ref="L9" authorId="0" shapeId="0">
      <text>
        <t>This row is the Host's own LOCAL backup (local=1 in engine.log - source and destination are both local paths on this same machine), which never touches the network interface at all. Unlike every remote row, where these three columns genuinely isolate that one device's own activity, this row's CPU/Mem/Network numbers reflect the Host MACHINE's total concurrent load at that moment - whichever other remote(s) happened to be transferring into the Host under the 2-concurrent-transfer queue at the same time, not this local copy itself. In this run, FPPBeagleBlack (07:46:27-07:46:39) was still mid-transfer through this row's entire window (07:46:36-07:46:38), so its incoming traffic is what these peaks are actually showing.</t>
      </text>
    </comment>
    <comment ref="N9" authorId="0" shapeId="0">
      <text>
        <t>This row is the Host's own LOCAL backup (local=1 in engine.log - source and destination are both local paths on this same machine), which never touches the network interface at all. Unlike every remote row, where these three columns genuinely isolate that one device's own activity, this row's CPU/Mem/Network numbers reflect the Host MACHINE's total concurrent load at that moment - whichever other remote(s) happened to be transferring into the Host under the 2-concurrent-transfer queue at the same time, not this local copy itself. In this run, FPPBeagleBlack (07:46:27-07:46:39) was still mid-transfer through this row's entire window (07:46:36-07:46:38), so its incoming traffic is what these peaks are actually showing.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O28"/>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4" customWidth="1" min="3" max="3"/>
    <col width="11" customWidth="1" min="4" max="4"/>
    <col width="11" customWidth="1" min="5" max="5"/>
    <col width="13" customWidth="1" min="6" max="6"/>
    <col width="8" customWidth="1" min="7" max="7"/>
    <col width="17" customWidth="1" min="8" max="8"/>
    <col width="15" customWidth="1" min="9" max="9"/>
    <col width="17" customWidth="1" min="10" max="10"/>
    <col width="14" customWidth="1" min="11" max="11"/>
    <col width="16" customWidth="1" min="12" max="12"/>
    <col width="15" customWidth="1" min="13" max="13"/>
    <col width="16" customWidth="1" min="14" max="14"/>
    <col width="15" customWidth="1" min="15" max="15"/>
  </cols>
  <sheetData>
    <row r="1">
      <c r="A1" s="1" t="inlineStr">
        <is>
          <t>Remote Backup - Run Stats with System Load</t>
        </is>
      </c>
    </row>
    <row r="2">
      <c r="A2" s="2" t="inlineStr">
        <is>
          <t>Run ID 20260902-074613  |  Host: Pi5Backup  |  8/8 devices, all VERIFY clean  |  Transfer figures from engine.log, CPU/memory/network peaks from each device's own monitor log</t>
        </is>
      </c>
    </row>
    <row r="4">
      <c r="A4" s="3" t="inlineStr">
        <is>
          <t>Device</t>
        </is>
      </c>
      <c r="B4" s="3" t="inlineStr">
        <is>
          <t>Role</t>
        </is>
      </c>
      <c r="C4" s="3" t="inlineStr">
        <is>
          <t>IP Address</t>
        </is>
      </c>
      <c r="D4" s="3" t="inlineStr">
        <is>
          <t>Start Time</t>
        </is>
      </c>
      <c r="E4" s="3" t="inlineStr">
        <is>
          <t>Finish Time</t>
        </is>
      </c>
      <c r="F4" s="3" t="inlineStr">
        <is>
          <t>Duration (s)</t>
        </is>
      </c>
      <c r="G4" s="3" t="inlineStr">
        <is>
          <t>Files</t>
        </is>
      </c>
      <c r="H4" s="3" t="inlineStr">
        <is>
          <t>Bytes Transferred</t>
        </is>
      </c>
      <c r="I4" s="3" t="inlineStr">
        <is>
          <t>MB Transferred</t>
        </is>
      </c>
      <c r="J4" s="3" t="inlineStr">
        <is>
          <t>Throughput (MB/s)</t>
        </is>
      </c>
      <c r="K4" s="3" t="inlineStr">
        <is>
          <t>Peak CPU Busy %</t>
        </is>
      </c>
      <c r="L4" s="3" t="inlineStr">
        <is>
          <t>Peak Mem Used (MB)</t>
        </is>
      </c>
      <c r="M4" s="3" t="inlineStr">
        <is>
          <t>Min Mem Free (MB)</t>
        </is>
      </c>
      <c r="N4" s="3" t="inlineStr">
        <is>
          <t>Peak Network (MB/s)</t>
        </is>
      </c>
      <c r="O4" s="3" t="inlineStr">
        <is>
          <t>Peak Network (B/s)</t>
        </is>
      </c>
    </row>
    <row r="5">
      <c r="A5" s="4" t="inlineStr">
        <is>
          <t>FPPBeagleBlack</t>
        </is>
      </c>
      <c r="B5" s="4" t="inlineStr">
        <is>
          <t>Remote</t>
        </is>
      </c>
      <c r="C5" s="4" t="inlineStr">
        <is>
          <t>192.168.1.103</t>
        </is>
      </c>
      <c r="D5" s="5" t="n">
        <v>46267.32392361111</v>
      </c>
      <c r="E5" s="5" t="n">
        <v>46267.3240625</v>
      </c>
      <c r="F5" s="6">
        <f>(E5-D5)*86400</f>
        <v>12</v>
      </c>
      <c r="G5" s="7" t="n">
        <v>35</v>
      </c>
      <c r="H5" s="8" t="n">
        <v>60838380</v>
      </c>
      <c r="I5" s="9">
        <f>H5/1048576</f>
        <v>58.02000045776367</v>
      </c>
      <c r="J5" s="9">
        <f>IFERROR(I5/F5,0)</f>
        <v>4.835000038146973</v>
      </c>
      <c r="K5" s="10" t="n">
        <v>100</v>
      </c>
      <c r="L5" s="11" t="n">
        <v>180.9</v>
      </c>
      <c r="M5" s="11" t="n">
        <v>11.4</v>
      </c>
      <c r="N5" s="9">
        <f>O5/1048576</f>
        <v>7.216131210327148</v>
      </c>
      <c r="O5" s="7" t="n">
        <v>7566662</v>
      </c>
    </row>
    <row r="6">
      <c r="A6" s="4" t="inlineStr">
        <is>
          <t>GPIOTest</t>
        </is>
      </c>
      <c r="B6" s="4" t="inlineStr">
        <is>
          <t>Remote</t>
        </is>
      </c>
      <c r="C6" s="4" t="inlineStr">
        <is>
          <t>192.168.1.227</t>
        </is>
      </c>
      <c r="D6" s="5" t="n">
        <v>46267.32392361111</v>
      </c>
      <c r="E6" s="5" t="n">
        <v>46267.32395833333</v>
      </c>
      <c r="F6" s="6">
        <f>(E6-D6)*86400</f>
        <v>3</v>
      </c>
      <c r="G6" s="7" t="n">
        <v>56</v>
      </c>
      <c r="H6" s="8" t="n">
        <v>60838380</v>
      </c>
      <c r="I6" s="9">
        <f>H6/1048576</f>
        <v>58.02000045776367</v>
      </c>
      <c r="J6" s="9">
        <f>IFERROR(I6/F6,0)</f>
        <v>19.34000015258789</v>
      </c>
      <c r="K6" s="10" t="n">
        <v>4.2</v>
      </c>
      <c r="L6" s="11" t="n">
        <v>299.4</v>
      </c>
      <c r="M6" s="11" t="n">
        <v>32.4</v>
      </c>
      <c r="N6" s="9">
        <f>O6/1048576</f>
        <v>9.677915414174398</v>
      </c>
      <c r="O6" s="7" t="n">
        <v>10148029.8</v>
      </c>
    </row>
    <row r="7">
      <c r="A7" s="4" t="inlineStr">
        <is>
          <t>LargeMatrix</t>
        </is>
      </c>
      <c r="B7" s="4" t="inlineStr">
        <is>
          <t>Remote</t>
        </is>
      </c>
      <c r="C7" s="4" t="inlineStr">
        <is>
          <t>192.168.1.135</t>
        </is>
      </c>
      <c r="D7" s="5" t="n">
        <v>46267.32395833333</v>
      </c>
      <c r="E7" s="5" t="n">
        <v>46267.32398148148</v>
      </c>
      <c r="F7" s="6">
        <f>(E7-D7)*86400</f>
        <v>2</v>
      </c>
      <c r="G7" s="7" t="n">
        <v>138</v>
      </c>
      <c r="H7" s="8" t="n">
        <v>82407588</v>
      </c>
      <c r="I7" s="9">
        <f>H7/1048576</f>
        <v>78.59000015258789</v>
      </c>
      <c r="J7" s="9">
        <f>IFERROR(I7/F7,0)</f>
        <v>39.295000076293945</v>
      </c>
      <c r="K7" s="10" t="n">
        <v>6.1</v>
      </c>
      <c r="L7" s="11" t="n">
        <v>441.6</v>
      </c>
      <c r="M7" s="11" t="n">
        <v>2241.8</v>
      </c>
      <c r="N7" s="9">
        <f>O7/1048576</f>
        <v>13.092489878336588</v>
      </c>
      <c r="O7" s="7" t="n">
        <v>13728470.7</v>
      </c>
    </row>
    <row r="8">
      <c r="A8" s="4" t="inlineStr">
        <is>
          <t>Pi3Backup</t>
        </is>
      </c>
      <c r="B8" s="4" t="inlineStr">
        <is>
          <t>Remote</t>
        </is>
      </c>
      <c r="C8" s="4" t="inlineStr">
        <is>
          <t>192.168.1.225</t>
        </is>
      </c>
      <c r="D8" s="5" t="n">
        <v>46267.32398148148</v>
      </c>
      <c r="E8" s="5" t="n">
        <v>46267.32402777778</v>
      </c>
      <c r="F8" s="6">
        <f>(E8-D8)*86400</f>
        <v>4</v>
      </c>
      <c r="G8" s="7" t="n">
        <v>43</v>
      </c>
      <c r="H8" s="8" t="n">
        <v>1604321</v>
      </c>
      <c r="I8" s="9">
        <f>H8/1048576</f>
        <v>1.5299997329711914</v>
      </c>
      <c r="J8" s="9">
        <f>IFERROR(I8/F8,0)</f>
        <v>0.38249993324279785</v>
      </c>
      <c r="K8" s="10" t="n">
        <v>5.9</v>
      </c>
      <c r="L8" s="11" t="n">
        <v>280.5</v>
      </c>
      <c r="M8" s="11" t="n">
        <v>223.4</v>
      </c>
      <c r="N8" s="9">
        <f>O8/1048576</f>
        <v>0.3331441879272461</v>
      </c>
      <c r="O8" s="7" t="n">
        <v>349327</v>
      </c>
    </row>
    <row r="9">
      <c r="A9" s="12" t="inlineStr">
        <is>
          <t>Pi5Backup</t>
        </is>
      </c>
      <c r="B9" s="12" t="inlineStr">
        <is>
          <t>Host (local)</t>
        </is>
      </c>
      <c r="C9" s="12" t="inlineStr">
        <is>
          <t>192.168.1.145</t>
        </is>
      </c>
      <c r="D9" s="13" t="n">
        <v>46267.32402777778</v>
      </c>
      <c r="E9" s="13" t="n">
        <v>46267.32405092593</v>
      </c>
      <c r="F9" s="14">
        <f>(E9-D9)*86400</f>
        <v>2</v>
      </c>
      <c r="G9" s="15" t="n">
        <v>126</v>
      </c>
      <c r="H9" s="16" t="n">
        <v>65556972</v>
      </c>
      <c r="I9" s="17">
        <f>H9/1048576</f>
        <v>62.52000045776367</v>
      </c>
      <c r="J9" s="17">
        <f>IFERROR(I9/F9,0)</f>
        <v>31.260000228881836</v>
      </c>
      <c r="K9" s="18" t="n">
        <v>14.6</v>
      </c>
      <c r="L9" s="19" t="n">
        <v>567.1</v>
      </c>
      <c r="M9" s="19" t="n">
        <v>2631.3</v>
      </c>
      <c r="N9" s="17">
        <f>O9/1048576</f>
        <v>26.540317153930665</v>
      </c>
      <c r="O9" s="15" t="n">
        <v>27829539.6</v>
      </c>
    </row>
    <row r="10">
      <c r="A10" s="4" t="inlineStr">
        <is>
          <t>PiMaster</t>
        </is>
      </c>
      <c r="B10" s="4" t="inlineStr">
        <is>
          <t>Remote</t>
        </is>
      </c>
      <c r="C10" s="4" t="inlineStr">
        <is>
          <t>192.168.1.140</t>
        </is>
      </c>
      <c r="D10" s="5" t="n">
        <v>46267.32405092593</v>
      </c>
      <c r="E10" s="5" t="n">
        <v>46267.32408564815</v>
      </c>
      <c r="F10" s="6">
        <f>(E10-D10)*86400</f>
        <v>3</v>
      </c>
      <c r="G10" s="7" t="n">
        <v>179</v>
      </c>
      <c r="H10" s="8" t="n">
        <v>89558876</v>
      </c>
      <c r="I10" s="9">
        <f>H10/1048576</f>
        <v>85.40999984741211</v>
      </c>
      <c r="J10" s="9">
        <f>IFERROR(I10/F10,0)</f>
        <v>28.46999994913737</v>
      </c>
      <c r="K10" s="10" t="n">
        <v>30</v>
      </c>
      <c r="L10" s="11" t="n">
        <v>469.7</v>
      </c>
      <c r="M10" s="11" t="n">
        <v>785.2</v>
      </c>
      <c r="N10" s="9">
        <f>O10/1048576</f>
        <v>17.091417121887208</v>
      </c>
      <c r="O10" s="7" t="n">
        <v>17921649.8</v>
      </c>
    </row>
    <row r="11">
      <c r="A11" s="4" t="inlineStr">
        <is>
          <t>Santa-Sleigh</t>
        </is>
      </c>
      <c r="B11" s="4" t="inlineStr">
        <is>
          <t>Remote</t>
        </is>
      </c>
      <c r="C11" s="4" t="inlineStr">
        <is>
          <t>192.168.1.196</t>
        </is>
      </c>
      <c r="D11" s="5" t="n">
        <v>46267.3240625</v>
      </c>
      <c r="E11" s="5" t="n">
        <v>46267.32425925926</v>
      </c>
      <c r="F11" s="6">
        <f>(E11-D11)*86400</f>
        <v>17</v>
      </c>
      <c r="G11" s="7" t="n">
        <v>43</v>
      </c>
      <c r="H11" s="8" t="n">
        <v>431887483</v>
      </c>
      <c r="I11" s="9">
        <f>H11/1048576</f>
        <v>411.8800001144409</v>
      </c>
      <c r="J11" s="9">
        <f>IFERROR(I11/F11,0)</f>
        <v>24.228235300849466</v>
      </c>
      <c r="K11" s="10" t="n">
        <v>35.8</v>
      </c>
      <c r="L11" s="11" t="n">
        <v>394.9</v>
      </c>
      <c r="M11" s="11" t="n">
        <v>444.5</v>
      </c>
      <c r="N11" s="9">
        <f>O11/1048576</f>
        <v>32.75879955291748</v>
      </c>
      <c r="O11" s="7" t="n">
        <v>34350091</v>
      </c>
    </row>
    <row r="12">
      <c r="A12" s="4" t="inlineStr">
        <is>
          <t>SantaFPP</t>
        </is>
      </c>
      <c r="B12" s="4" t="inlineStr">
        <is>
          <t>Remote</t>
        </is>
      </c>
      <c r="C12" s="4" t="inlineStr">
        <is>
          <t>192.168.1.88</t>
        </is>
      </c>
      <c r="D12" s="5" t="n">
        <v>46267.32408564815</v>
      </c>
      <c r="E12" s="5" t="n">
        <v>46267.32412037037</v>
      </c>
      <c r="F12" s="6">
        <f>(E12-D12)*86400</f>
        <v>3</v>
      </c>
      <c r="G12" s="7" t="n">
        <v>29</v>
      </c>
      <c r="H12" s="8" t="n">
        <v>60576236</v>
      </c>
      <c r="I12" s="9">
        <f>H12/1048576</f>
        <v>57.77000045776367</v>
      </c>
      <c r="J12" s="9">
        <f>IFERROR(I12/F12,0)</f>
        <v>19.25666681925456</v>
      </c>
      <c r="K12" s="10" t="n">
        <v>28.3</v>
      </c>
      <c r="L12" s="11" t="n">
        <v>381.4</v>
      </c>
      <c r="M12" s="11" t="n">
        <v>1145.3</v>
      </c>
      <c r="N12" s="9">
        <f>O12/1048576</f>
        <v>11.543304634094238</v>
      </c>
      <c r="O12" s="7" t="n">
        <v>12104032.2</v>
      </c>
    </row>
    <row r="13">
      <c r="A13" s="20" t="inlineStr">
        <is>
          <t>TOTAL / RUN</t>
        </is>
      </c>
      <c r="B13" s="21" t="n"/>
      <c r="C13" s="21" t="n"/>
      <c r="D13" s="21" t="n"/>
      <c r="E13" s="21" t="n"/>
      <c r="F13" s="21" t="n"/>
      <c r="G13" s="20">
        <f>SUM(G5:G12)</f>
        <v>649</v>
      </c>
      <c r="H13" s="22">
        <f>SUM(H5:H12)</f>
        <v>853268236</v>
      </c>
      <c r="I13" s="23">
        <f>SUM(I5:I12)</f>
        <v>813.7400016784668</v>
      </c>
      <c r="J13" s="21" t="n"/>
      <c r="K13" s="21" t="n"/>
      <c r="L13" s="21" t="n"/>
      <c r="M13" s="21" t="n"/>
      <c r="N13" s="21" t="n"/>
      <c r="O13" s="21" t="n"/>
    </row>
    <row r="14" ht="28" customHeight="1">
      <c r="A14" s="24" t="inlineStr">
        <is>
          <t>Note on the Pi5Backup row: its transfer is local (local=1 in engine.log), so it never touches the network interface - the Peak CPU/Mem/Network columns on that row reflect the whole Host machine's concurrent load at that moment (here, FPPBeagleBlack's still-running transfer overlapping it), not this local copy itself. See the cell comments on that row's Peak CPU/Mem/Network cells for detail.</t>
        </is>
      </c>
    </row>
    <row r="16">
      <c r="A16" s="25" t="inlineStr">
        <is>
          <t>Run Summary</t>
        </is>
      </c>
    </row>
    <row r="17">
      <c r="A17" s="26" t="inlineStr">
        <is>
          <t>Run ID</t>
        </is>
      </c>
      <c r="B17" s="26" t="inlineStr">
        <is>
          <t>20260902-074613</t>
        </is>
      </c>
    </row>
    <row r="18">
      <c r="A18" s="26" t="inlineStr">
        <is>
          <t>Backup Host</t>
        </is>
      </c>
      <c r="B18" s="26" t="inlineStr">
        <is>
          <t>Pi5Backup (192.168.1.145)</t>
        </is>
      </c>
    </row>
    <row r="19">
      <c r="A19" s="26" t="inlineStr">
        <is>
          <t>Devices in run</t>
        </is>
      </c>
      <c r="B19" s="26" t="n">
        <v>8</v>
      </c>
    </row>
    <row r="20">
      <c r="A20" s="26" t="inlineStr">
        <is>
          <t>Max concurrent transfers</t>
        </is>
      </c>
      <c r="B20" s="26" t="n">
        <v>2</v>
      </c>
    </row>
    <row r="21">
      <c r="A21" s="26" t="inlineStr">
        <is>
          <t>Run start (engine.log)</t>
        </is>
      </c>
      <c r="B21" s="27" t="n">
        <v>46267.32392361111</v>
      </c>
    </row>
    <row r="22">
      <c r="A22" s="26" t="inlineStr">
        <is>
          <t>Run complete (engine.log)</t>
        </is>
      </c>
      <c r="B22" s="27" t="n">
        <v>46267.32425925926</v>
      </c>
    </row>
    <row r="23">
      <c r="A23" s="26" t="inlineStr">
        <is>
          <t>Total wall-clock duration (s)</t>
        </is>
      </c>
      <c r="B23" s="26">
        <f>(B22-B21)*86400</f>
        <v>29</v>
      </c>
    </row>
    <row r="24">
      <c r="A24" s="26" t="inlineStr">
        <is>
          <t>Total bytes transferred</t>
        </is>
      </c>
      <c r="B24" s="28">
        <f>H13</f>
        <v>853268236</v>
      </c>
    </row>
    <row r="25">
      <c r="A25" s="26" t="inlineStr">
        <is>
          <t>Total MB transferred</t>
        </is>
      </c>
      <c r="B25" s="29">
        <f>I13</f>
        <v>813.7400016784668</v>
      </c>
    </row>
    <row r="26">
      <c r="A26" s="26" t="inlineStr">
        <is>
          <t>Aggregate throughput (MB/s, wall-clock)</t>
        </is>
      </c>
      <c r="B26" s="29">
        <f>IFERROR(B25/B23,0)</f>
        <v>28.060000057878167</v>
      </c>
    </row>
    <row r="27">
      <c r="A27" s="26" t="inlineStr">
        <is>
          <t>Highest single-device peak CPU busy % in run</t>
        </is>
      </c>
      <c r="B27" s="29">
        <f>MAX(K5:K12)</f>
        <v>100.0</v>
      </c>
    </row>
    <row r="28">
      <c r="A28" s="26" t="inlineStr">
        <is>
          <t>Highest single-device peak network (MB/s) in run</t>
        </is>
      </c>
      <c r="B28" s="29">
        <f>MAX(N5:N12)</f>
        <v>32.75879955291748</v>
      </c>
    </row>
  </sheetData>
  <mergeCells count="3">
    <mergeCell ref="A2:M2"/>
    <mergeCell ref="A14:O14"/>
    <mergeCell ref="A1:M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2026-09-02T13:13:17Z</dcterms:created>
  <dcterms:modified xsi:type="dcterms:W3CDTF">2026-09-02T13:13:17Z</dcterms:modified>
</cp:coreProperties>
</file>